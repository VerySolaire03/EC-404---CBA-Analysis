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<sst xmlns="http://schemas.openxmlformats.org/spreadsheetml/2006/main" count="7" uniqueCount="7">
  <si>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</si>
  <si>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paid_pass</t>
  </si>
  <si>
    <t>tot_demand</t>
  </si>
  <si>
    <t>km_per_person</t>
  </si>
  <si>
    <t>soc_cost_dollars</t>
  </si>
  <si>
    <t>Annual Damage</t>
  </si>
  <si>
    <t>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</si>
</sst>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>
      <c r="A2" s="1">
        <v>2020.0</v>
      </c>
      <c r="B2" s="2">
        <v>2.7951E7</v>
      </c>
      <c r="C2" s="2">
        <v>5.3254E10</v>
      </c>
      <c r="D2" s="3">
        <f t="shared" ref="D2:D6" si="1">C2/B2</f>
        <v>1905.262781</v>
      </c>
      <c r="E2" s="2">
        <v>11.0</v>
      </c>
    </row>
    <row r="3">
      <c r="A3" s="1">
        <v>2021.0</v>
      </c>
      <c r="B3" s="2">
        <v>4.4791E7</v>
      </c>
      <c r="C3" s="2">
        <v>8.6705E10</v>
      </c>
      <c r="D3" s="3">
        <f t="shared" si="1"/>
        <v>1935.768346</v>
      </c>
      <c r="E3" s="2">
        <v>11.75</v>
      </c>
      <c r="G3" s="3">
        <v>5.00732506E8</v>
      </c>
    </row>
    <row r="4">
      <c r="A4" s="1">
        <v>2022.0</v>
      </c>
      <c r="B4" s="2">
        <v>7.1821E7</v>
      </c>
      <c r="C4" s="2">
        <v>1.62673E11</v>
      </c>
      <c r="D4" s="3">
        <f t="shared" si="1"/>
        <v>2264.97821</v>
      </c>
      <c r="E4" s="2">
        <v>12.5</v>
      </c>
      <c r="G4" s="3">
        <v>7.62822294E8</v>
      </c>
    </row>
    <row r="5">
      <c r="A5" s="1">
        <v>2023.0</v>
      </c>
      <c r="B5" s="2">
        <v>8.3388E7</v>
      </c>
      <c r="C5" s="2">
        <v>1.93961E11</v>
      </c>
      <c r="D5" s="3">
        <f t="shared" si="1"/>
        <v>2326.00614</v>
      </c>
      <c r="E5" s="2">
        <v>13.25</v>
      </c>
      <c r="G5" s="3">
        <v>8.7076656E8</v>
      </c>
    </row>
    <row r="6">
      <c r="A6" s="1">
        <v>2024.0</v>
      </c>
      <c r="B6" s="2">
        <v>8.5171E7</v>
      </c>
      <c r="C6" s="2">
        <v>2.08874E11</v>
      </c>
      <c r="D6" s="3">
        <f t="shared" si="1"/>
        <v>2452.40751</v>
      </c>
      <c r="E6" s="2">
        <v>14.0</v>
      </c>
      <c r="G6" s="3">
        <v>9.22216032E8</v>
      </c>
    </row>
    <row r="8">
      <c r="A8" s="4" t="s">
        <v>6</v>
      </c>
      <c r="B8" s="3">
        <f t="shared" ref="B8:E8" si="2">AVERAGE(B2:B6)</f>
        <v>62624400</v>
      </c>
      <c r="C8" s="3">
        <f t="shared" si="2"/>
        <v>141093400000</v>
      </c>
      <c r="D8" s="3">
        <f t="shared" si="2"/>
        <v>2176.884597</v>
      </c>
      <c r="E8" s="3">
        <f t="shared" si="2"/>
        <v>12.5</v>
      </c>
    </row>
  </sheetData>
  <drawing r:id="rId1"/>
</worksheet>
</file>